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EXCELDEMY ARTICLES\2023\JANUARY\Tiered Interest Rate Calculator Excel\"/>
    </mc:Choice>
  </mc:AlternateContent>
  <xr:revisionPtr revIDLastSave="0" documentId="13_ncr:1_{BFFB4387-AC84-4E1F-941A-9453E3AE704E}" xr6:coauthVersionLast="47" xr6:coauthVersionMax="47" xr10:uidLastSave="{00000000-0000-0000-0000-000000000000}"/>
  <bookViews>
    <workbookView xWindow="-108" yWindow="-108" windowWidth="23256" windowHeight="12576" xr2:uid="{D81F0969-E8BA-4222-A434-862824E29610}"/>
  </bookViews>
  <sheets>
    <sheet name="SUMPRODUCT" sheetId="1" r:id="rId1"/>
    <sheet name="SUMPRODUCT, MAX &amp; MIN" sheetId="2" r:id="rId2"/>
    <sheet name="VBA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0" i="2" l="1"/>
  <c r="N9" i="2"/>
  <c r="N8" i="2"/>
  <c r="N7" i="2"/>
  <c r="N6" i="2"/>
  <c r="C14" i="2" a="1"/>
  <c r="C14" i="2" s="1"/>
  <c r="C15" i="2" a="1"/>
  <c r="C15" i="2" s="1"/>
  <c r="C16" i="2" a="1"/>
  <c r="C16" i="2" s="1"/>
  <c r="C13" i="2" a="1"/>
  <c r="C13" i="2" s="1"/>
  <c r="D8" i="2"/>
  <c r="D9" i="2"/>
  <c r="D10" i="2"/>
  <c r="D7" i="2"/>
  <c r="D6" i="2"/>
  <c r="E13" i="4" a="1"/>
  <c r="E12" i="4" a="1"/>
  <c r="E13" i="4" l="1"/>
  <c r="E12" i="4"/>
  <c r="C13" i="1" a="1"/>
  <c r="C13" i="1" s="1"/>
  <c r="C14" i="1" a="1"/>
  <c r="C14" i="1" s="1"/>
  <c r="C15" i="1" a="1"/>
  <c r="C15" i="1" s="1"/>
  <c r="C12" i="1" a="1"/>
  <c r="C1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<sst xmlns="http://schemas.openxmlformats.org/spreadsheetml/2006/main" count="45" uniqueCount="21">
  <si>
    <t>Using SUMPRODUCT Function</t>
  </si>
  <si>
    <t>Tier Table</t>
  </si>
  <si>
    <t>Rate</t>
  </si>
  <si>
    <t>Start Value</t>
  </si>
  <si>
    <t>End Value</t>
  </si>
  <si>
    <t>Value Range</t>
  </si>
  <si>
    <t>Rate Interval</t>
  </si>
  <si>
    <t>Combining SUMPRODUCT, MAX &amp; MIN Functions</t>
  </si>
  <si>
    <t>Applying VBA</t>
  </si>
  <si>
    <t>Interval of Days</t>
  </si>
  <si>
    <t>First 45 days</t>
  </si>
  <si>
    <t>45 to 90 Days</t>
  </si>
  <si>
    <t>91 to 135 days</t>
  </si>
  <si>
    <t>More than 136 days</t>
  </si>
  <si>
    <t>Account Balance</t>
  </si>
  <si>
    <t>Interest</t>
  </si>
  <si>
    <t xml:space="preserve"> </t>
  </si>
  <si>
    <t>Invoice Received</t>
  </si>
  <si>
    <t>Bill Paid</t>
  </si>
  <si>
    <t>Due Amount</t>
  </si>
  <si>
    <t>Try Yourself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</si>
</sst>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1" fillId="0" borderId="2">
      <alignment horizontal="left" indent="1"/>
    </xf>
    <xf numFmtId="44" fontId="1" fillId="0" borderId="0" applyFont="0" applyFill="0" applyBorder="0" applyAlignment="0" applyProtection="0"/>
  </cellStyleXfs>
  <cellXfs count="15">
    <xf numFmtId="0" fontId="0" fillId="0" borderId="0" xfId="0"/>
    <xf numFmtId="0" fontId="0" fillId="0" borderId="3" xfId="0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10" fontId="0" fillId="0" borderId="3" xfId="1" applyNumberFormat="1" applyFont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44" fontId="0" fillId="0" borderId="3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44" fontId="0" fillId="0" borderId="3" xfId="0" applyNumberFormat="1" applyBorder="1" applyAlignment="1">
      <alignment horizontal="left" vertical="center"/>
    </xf>
    <xf numFmtId="10" fontId="0" fillId="0" borderId="3" xfId="0" applyNumberFormat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164" fontId="0" fillId="0" borderId="3" xfId="4" applyNumberFormat="1" applyFont="1" applyBorder="1" applyAlignment="1">
      <alignment horizontal="center" vertical="center"/>
    </xf>
    <xf numFmtId="44" fontId="0" fillId="0" borderId="3" xfId="4" applyFont="1" applyBorder="1" applyAlignment="1">
      <alignment horizontal="left" vertical="center"/>
    </xf>
    <xf numFmtId="0" fontId="3" fillId="2" borderId="1" xfId="2" applyFont="1" applyFill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</cellXfs>
  <cellStyles count="5">
    <cellStyle name="Currency" xfId="4" builtinId="4"/>
    <cellStyle name="Default" xfId="3" xr:uid="{D4DDFA66-F386-44B5-A283-72CFFA1A6787}"/>
    <cellStyle name="Heading 2" xfId="2" builtinId="17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CD925-AA57-4112-8870-70603D435A3E}">
  <sheetPr codeName="Sheet1"/>
  <dimension ref="B2:M17"/>
  <sheetViews>
    <sheetView showGridLines="0" tabSelected="1" zoomScale="85" zoomScaleNormal="85" workbookViewId="0">
      <selection activeCell="D22" sqref="D22"/>
    </sheetView>
  </sheetViews>
  <sheetFormatPr defaultRowHeight="19.95" customHeight="1" x14ac:dyDescent="0.3"/>
  <cols>
    <col min="1" max="1" width="3" customWidth="1"/>
    <col min="2" max="2" width="18.109375" customWidth="1"/>
    <col min="3" max="3" width="15.21875" customWidth="1"/>
    <col min="4" max="4" width="14" customWidth="1"/>
    <col min="11" max="11" width="14.88671875" customWidth="1"/>
    <col min="12" max="12" width="15.21875" customWidth="1"/>
    <col min="13" max="13" width="14" customWidth="1"/>
  </cols>
  <sheetData>
    <row r="2" spans="2:13" ht="19.95" customHeight="1" thickBot="1" x14ac:dyDescent="0.35">
      <c r="B2" s="13" t="s">
        <v>0</v>
      </c>
      <c r="C2" s="13"/>
      <c r="D2" s="13"/>
      <c r="K2" s="13" t="s">
        <v>20</v>
      </c>
      <c r="L2" s="13"/>
      <c r="M2" s="13"/>
    </row>
    <row r="3" spans="2:13" ht="19.95" customHeight="1" thickTop="1" x14ac:dyDescent="0.3"/>
    <row r="4" spans="2:13" ht="19.95" customHeight="1" x14ac:dyDescent="0.3">
      <c r="B4" s="14" t="s">
        <v>1</v>
      </c>
      <c r="C4" s="14"/>
      <c r="D4" s="14"/>
      <c r="K4" s="14" t="s">
        <v>1</v>
      </c>
      <c r="L4" s="14"/>
      <c r="M4" s="14"/>
    </row>
    <row r="5" spans="2:13" ht="19.95" customHeight="1" x14ac:dyDescent="0.3">
      <c r="B5" s="2" t="s">
        <v>3</v>
      </c>
      <c r="C5" s="2" t="s">
        <v>4</v>
      </c>
      <c r="D5" s="2" t="s">
        <v>2</v>
      </c>
      <c r="K5" s="2" t="s">
        <v>3</v>
      </c>
      <c r="L5" s="2" t="s">
        <v>4</v>
      </c>
      <c r="M5" s="2" t="s">
        <v>2</v>
      </c>
    </row>
    <row r="6" spans="2:13" ht="19.95" customHeight="1" x14ac:dyDescent="0.3">
      <c r="B6" s="6">
        <v>0</v>
      </c>
      <c r="C6" s="6">
        <v>150000</v>
      </c>
      <c r="D6" s="3">
        <v>1.37E-2</v>
      </c>
      <c r="K6" s="6">
        <v>0</v>
      </c>
      <c r="L6" s="6">
        <v>150000</v>
      </c>
      <c r="M6" s="3">
        <v>1.37E-2</v>
      </c>
    </row>
    <row r="7" spans="2:13" ht="19.95" customHeight="1" x14ac:dyDescent="0.3">
      <c r="B7" s="6">
        <v>150000</v>
      </c>
      <c r="C7" s="6">
        <v>300000</v>
      </c>
      <c r="D7" s="3">
        <v>1.12E-2</v>
      </c>
      <c r="K7" s="6">
        <v>150000</v>
      </c>
      <c r="L7" s="6">
        <v>300000</v>
      </c>
      <c r="M7" s="3">
        <v>1.12E-2</v>
      </c>
    </row>
    <row r="8" spans="2:13" ht="19.95" customHeight="1" x14ac:dyDescent="0.3">
      <c r="B8" s="6">
        <v>300000</v>
      </c>
      <c r="C8" s="6">
        <v>500000</v>
      </c>
      <c r="D8" s="3">
        <v>9.2999999999999992E-3</v>
      </c>
      <c r="K8" s="6">
        <v>300000</v>
      </c>
      <c r="L8" s="6">
        <v>500000</v>
      </c>
      <c r="M8" s="3">
        <v>9.2999999999999992E-3</v>
      </c>
    </row>
    <row r="9" spans="2:13" ht="19.95" customHeight="1" x14ac:dyDescent="0.3">
      <c r="B9" s="6">
        <v>500000</v>
      </c>
      <c r="C9" s="6">
        <v>1000000</v>
      </c>
      <c r="D9" s="3">
        <v>6.7999999999999996E-3</v>
      </c>
      <c r="K9" s="6">
        <v>500000</v>
      </c>
      <c r="L9" s="6">
        <v>1000000</v>
      </c>
      <c r="M9" s="3">
        <v>6.7999999999999996E-3</v>
      </c>
    </row>
    <row r="10" spans="2:13" ht="19.8" customHeight="1" x14ac:dyDescent="0.3"/>
    <row r="11" spans="2:13" ht="19.95" customHeight="1" x14ac:dyDescent="0.3">
      <c r="B11" s="4" t="s">
        <v>14</v>
      </c>
      <c r="C11" s="4" t="s">
        <v>15</v>
      </c>
    </row>
    <row r="12" spans="2:13" ht="19.95" customHeight="1" x14ac:dyDescent="0.3">
      <c r="B12" s="5">
        <v>75000</v>
      </c>
      <c r="C12" s="5" cm="1">
        <f t="array" ref="C12">SUMPRODUCT((B12&lt;=$C$6:$C$9)* (B12&gt;$B$6:$B$9)* (B12-$B$6:$B$9)* $D$6:$D$9)+ SUMPRODUCT(((B12&gt;$C$6:$C$9)* ($C$6:$C$9-$B$6:$B$9))* $D$6:$D$9)</f>
        <v>1027.5</v>
      </c>
    </row>
    <row r="13" spans="2:13" ht="19.95" customHeight="1" x14ac:dyDescent="0.3">
      <c r="B13" s="5">
        <v>165000</v>
      </c>
      <c r="C13" s="5" cm="1">
        <f t="array" ref="C13">SUMPRODUCT((B13&lt;=$C$6:$C$9)* (B13&gt;$B$6:$B$9)* (B13-$B$6:$B$9)* $D$6:$D$9)+ SUMPRODUCT(((B13&gt;$C$6:$C$9)* ($C$6:$C$9-$B$6:$B$9))* $D$6:$D$9)</f>
        <v>2223</v>
      </c>
    </row>
    <row r="14" spans="2:13" ht="19.95" customHeight="1" x14ac:dyDescent="0.3">
      <c r="B14" s="5">
        <v>320000</v>
      </c>
      <c r="C14" s="5" cm="1">
        <f t="array" ref="C14">SUMPRODUCT((B14&lt;=$C$6:$C$9)* (B14&gt;$B$6:$B$9)* (B14-$B$6:$B$9)* $D$6:$D$9)+ SUMPRODUCT(((B14&gt;$C$6:$C$9)* ($C$6:$C$9-$B$6:$B$9))* $D$6:$D$9)</f>
        <v>3921</v>
      </c>
    </row>
    <row r="15" spans="2:13" ht="19.95" customHeight="1" x14ac:dyDescent="0.3">
      <c r="B15" s="5">
        <v>555000</v>
      </c>
      <c r="C15" s="5" cm="1">
        <f t="array" ref="C15">SUMPRODUCT((B15&lt;=$C$6:$C$9)* (B15&gt;$B$6:$B$9)* (B15-$B$6:$B$9)* $D$6:$D$9)+ SUMPRODUCT(((B15&gt;$C$6:$C$9)* ($C$6:$C$9-$B$6:$B$9))* $D$6:$D$9)</f>
        <v>5969</v>
      </c>
    </row>
    <row r="17" customFormat="1" ht="19.95" customHeight="1" x14ac:dyDescent="0.3"/>
  </sheetData>
  <mergeCells count="4">
    <mergeCell ref="B2:D2"/>
    <mergeCell ref="B4:D4"/>
    <mergeCell ref="K2:M2"/>
    <mergeCell ref="K4:M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6CE44-953E-45DA-A173-F7D986DCCB26}">
  <sheetPr codeName="Sheet2"/>
  <dimension ref="B2:N16"/>
  <sheetViews>
    <sheetView showGridLines="0" zoomScale="85" zoomScaleNormal="85" workbookViewId="0">
      <selection activeCell="P13" sqref="P13"/>
    </sheetView>
  </sheetViews>
  <sheetFormatPr defaultRowHeight="19.95" customHeight="1" x14ac:dyDescent="0.3"/>
  <cols>
    <col min="1" max="1" width="3" customWidth="1"/>
    <col min="2" max="2" width="18.44140625" customWidth="1"/>
    <col min="3" max="3" width="17.21875" customWidth="1"/>
    <col min="4" max="4" width="22.33203125" customWidth="1"/>
    <col min="12" max="12" width="15.33203125" customWidth="1"/>
    <col min="13" max="13" width="9" customWidth="1"/>
    <col min="14" max="14" width="18.33203125" customWidth="1"/>
  </cols>
  <sheetData>
    <row r="2" spans="2:14" ht="19.95" customHeight="1" thickBot="1" x14ac:dyDescent="0.35">
      <c r="B2" s="13" t="s">
        <v>7</v>
      </c>
      <c r="C2" s="13"/>
      <c r="D2" s="13"/>
      <c r="L2" s="13" t="s">
        <v>20</v>
      </c>
      <c r="M2" s="13"/>
      <c r="N2" s="13"/>
    </row>
    <row r="3" spans="2:14" ht="19.95" customHeight="1" thickTop="1" x14ac:dyDescent="0.3"/>
    <row r="4" spans="2:14" ht="19.95" customHeight="1" x14ac:dyDescent="0.3">
      <c r="B4" s="14" t="s">
        <v>1</v>
      </c>
      <c r="C4" s="14"/>
      <c r="D4" s="14"/>
      <c r="L4" s="14" t="s">
        <v>1</v>
      </c>
      <c r="M4" s="14"/>
      <c r="N4" s="14"/>
    </row>
    <row r="5" spans="2:14" ht="19.95" customHeight="1" x14ac:dyDescent="0.3">
      <c r="B5" s="2" t="s">
        <v>5</v>
      </c>
      <c r="C5" s="2" t="s">
        <v>2</v>
      </c>
      <c r="D5" s="2" t="s">
        <v>6</v>
      </c>
      <c r="L5" s="2" t="s">
        <v>5</v>
      </c>
      <c r="M5" s="2" t="s">
        <v>2</v>
      </c>
      <c r="N5" s="2" t="s">
        <v>6</v>
      </c>
    </row>
    <row r="6" spans="2:14" ht="19.95" customHeight="1" x14ac:dyDescent="0.3">
      <c r="B6" s="1">
        <v>0</v>
      </c>
      <c r="C6" s="3">
        <v>1.37E-2</v>
      </c>
      <c r="D6" s="8">
        <f>C6</f>
        <v>1.37E-2</v>
      </c>
      <c r="L6" s="1">
        <v>0</v>
      </c>
      <c r="M6" s="3">
        <v>1.37E-2</v>
      </c>
      <c r="N6" s="8">
        <f>M6</f>
        <v>1.37E-2</v>
      </c>
    </row>
    <row r="7" spans="2:14" ht="19.95" customHeight="1" x14ac:dyDescent="0.3">
      <c r="B7" s="1">
        <v>150000</v>
      </c>
      <c r="C7" s="3">
        <v>1.12E-2</v>
      </c>
      <c r="D7" s="8">
        <f>C7-C6</f>
        <v>-2.5000000000000005E-3</v>
      </c>
      <c r="L7" s="1">
        <v>150000</v>
      </c>
      <c r="M7" s="3">
        <v>1.12E-2</v>
      </c>
      <c r="N7" s="8">
        <f>M7-M6</f>
        <v>-2.5000000000000005E-3</v>
      </c>
    </row>
    <row r="8" spans="2:14" ht="19.95" customHeight="1" x14ac:dyDescent="0.3">
      <c r="B8" s="1">
        <v>300000</v>
      </c>
      <c r="C8" s="3">
        <v>9.2999999999999992E-3</v>
      </c>
      <c r="D8" s="8">
        <f t="shared" ref="D8:D10" si="0">C8-C7</f>
        <v>-1.9000000000000006E-3</v>
      </c>
      <c r="L8" s="1">
        <v>300000</v>
      </c>
      <c r="M8" s="3">
        <v>9.2999999999999992E-3</v>
      </c>
      <c r="N8" s="8">
        <f t="shared" ref="N8:N10" si="1">M8-M7</f>
        <v>-1.9000000000000006E-3</v>
      </c>
    </row>
    <row r="9" spans="2:14" ht="19.95" customHeight="1" x14ac:dyDescent="0.3">
      <c r="B9" s="1">
        <v>500000</v>
      </c>
      <c r="C9" s="3">
        <v>6.7999999999999996E-3</v>
      </c>
      <c r="D9" s="8">
        <f t="shared" si="0"/>
        <v>-2.4999999999999996E-3</v>
      </c>
      <c r="L9" s="1">
        <v>500000</v>
      </c>
      <c r="M9" s="3">
        <v>6.7999999999999996E-3</v>
      </c>
      <c r="N9" s="8">
        <f t="shared" si="1"/>
        <v>-2.4999999999999996E-3</v>
      </c>
    </row>
    <row r="10" spans="2:14" ht="19.95" customHeight="1" x14ac:dyDescent="0.3">
      <c r="B10" s="1">
        <v>1000000</v>
      </c>
      <c r="C10" s="3">
        <v>6.7999999999999996E-3</v>
      </c>
      <c r="D10" s="8">
        <f t="shared" si="0"/>
        <v>0</v>
      </c>
      <c r="L10" s="1">
        <v>1000000</v>
      </c>
      <c r="M10" s="3">
        <v>6.7999999999999996E-3</v>
      </c>
      <c r="N10" s="8">
        <f t="shared" si="1"/>
        <v>0</v>
      </c>
    </row>
    <row r="12" spans="2:14" ht="19.95" customHeight="1" x14ac:dyDescent="0.3">
      <c r="B12" s="4" t="s">
        <v>14</v>
      </c>
      <c r="C12" s="4" t="s">
        <v>15</v>
      </c>
    </row>
    <row r="13" spans="2:14" ht="19.95" customHeight="1" x14ac:dyDescent="0.3">
      <c r="B13" s="5">
        <v>75000</v>
      </c>
      <c r="C13" s="7" cm="1">
        <f t="array" ref="C13">SUMPRODUCT((MIN(B13,MAX($B$6:$B$10))-$B$6:$B$10)*$D$6:$D$10*((MIN(B13,MAX($B$6:$B$10))-$B$6:$B$10)&gt;=0))</f>
        <v>1027.5</v>
      </c>
    </row>
    <row r="14" spans="2:14" ht="19.95" customHeight="1" x14ac:dyDescent="0.3">
      <c r="B14" s="5">
        <v>165000</v>
      </c>
      <c r="C14" s="7" cm="1">
        <f t="array" ref="C14">SUMPRODUCT((MIN(B14,MAX($B$6:$B$10))-$B$6:$B$10)*$D$6:$D$10*((MIN(B14,MAX($B$6:$B$10))-$B$6:$B$10)&gt;=0))</f>
        <v>2223</v>
      </c>
      <c r="H14" t="s">
        <v>16</v>
      </c>
    </row>
    <row r="15" spans="2:14" ht="19.95" customHeight="1" x14ac:dyDescent="0.3">
      <c r="B15" s="5">
        <v>320000</v>
      </c>
      <c r="C15" s="7" cm="1">
        <f t="array" ref="C15">SUMPRODUCT((MIN(B15,MAX($B$6:$B$10))-$B$6:$B$10)*$D$6:$D$10*((MIN(B15,MAX($B$6:$B$10))-$B$6:$B$10)&gt;=0))</f>
        <v>3921</v>
      </c>
    </row>
    <row r="16" spans="2:14" ht="19.95" customHeight="1" x14ac:dyDescent="0.3">
      <c r="B16" s="5">
        <v>555000</v>
      </c>
      <c r="C16" s="7" cm="1">
        <f t="array" ref="C16">SUMPRODUCT((MIN(B16,MAX($B$6:$B$10))-$B$6:$B$10)*$D$6:$D$10*((MIN(B16,MAX($B$6:$B$10))-$B$6:$B$10)&gt;=0))</f>
        <v>5969</v>
      </c>
    </row>
  </sheetData>
  <mergeCells count="4">
    <mergeCell ref="B2:D2"/>
    <mergeCell ref="B4:D4"/>
    <mergeCell ref="L2:N2"/>
    <mergeCell ref="L4:N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6CDF0-364A-42DC-8DBC-343CC482AC8E}">
  <sheetPr codeName="Sheet4"/>
  <dimension ref="B2:M13"/>
  <sheetViews>
    <sheetView showGridLines="0" zoomScale="85" zoomScaleNormal="85" workbookViewId="0">
      <selection activeCell="C19" sqref="C19"/>
    </sheetView>
  </sheetViews>
  <sheetFormatPr defaultRowHeight="19.95" customHeight="1" x14ac:dyDescent="0.3"/>
  <cols>
    <col min="1" max="1" width="3" customWidth="1"/>
    <col min="2" max="2" width="18.5546875" customWidth="1"/>
    <col min="3" max="3" width="18" bestFit="1" customWidth="1"/>
    <col min="4" max="4" width="14.44140625" customWidth="1"/>
    <col min="5" max="5" width="12.77734375" customWidth="1"/>
    <col min="12" max="12" width="18.5546875" customWidth="1"/>
    <col min="13" max="13" width="18" bestFit="1" customWidth="1"/>
  </cols>
  <sheetData>
    <row r="2" spans="2:13" ht="19.95" customHeight="1" thickBot="1" x14ac:dyDescent="0.35">
      <c r="B2" s="13" t="s">
        <v>8</v>
      </c>
      <c r="C2" s="13"/>
      <c r="D2" s="13"/>
      <c r="E2" s="13"/>
      <c r="L2" s="13" t="s">
        <v>20</v>
      </c>
      <c r="M2" s="13"/>
    </row>
    <row r="3" spans="2:13" ht="19.95" customHeight="1" thickTop="1" x14ac:dyDescent="0.3"/>
    <row r="4" spans="2:13" ht="19.95" customHeight="1" x14ac:dyDescent="0.3">
      <c r="B4" s="14" t="s">
        <v>1</v>
      </c>
      <c r="C4" s="14"/>
      <c r="L4" s="14" t="s">
        <v>1</v>
      </c>
      <c r="M4" s="14"/>
    </row>
    <row r="5" spans="2:13" ht="19.95" customHeight="1" x14ac:dyDescent="0.3">
      <c r="B5" s="2" t="s">
        <v>2</v>
      </c>
      <c r="C5" s="2" t="s">
        <v>9</v>
      </c>
      <c r="L5" s="2" t="s">
        <v>2</v>
      </c>
      <c r="M5" s="2" t="s">
        <v>9</v>
      </c>
    </row>
    <row r="6" spans="2:13" ht="19.95" customHeight="1" x14ac:dyDescent="0.3">
      <c r="B6" s="3">
        <v>6.7999999999999996E-3</v>
      </c>
      <c r="C6" s="1" t="s">
        <v>10</v>
      </c>
      <c r="L6" s="3">
        <v>6.7999999999999996E-3</v>
      </c>
      <c r="M6" s="1" t="s">
        <v>10</v>
      </c>
    </row>
    <row r="7" spans="2:13" ht="19.95" customHeight="1" x14ac:dyDescent="0.3">
      <c r="B7" s="3">
        <v>9.2999999999999992E-3</v>
      </c>
      <c r="C7" s="1" t="s">
        <v>11</v>
      </c>
      <c r="L7" s="3">
        <v>9.2999999999999992E-3</v>
      </c>
      <c r="M7" s="1" t="s">
        <v>11</v>
      </c>
    </row>
    <row r="8" spans="2:13" ht="19.95" customHeight="1" x14ac:dyDescent="0.3">
      <c r="B8" s="3">
        <v>1.12E-2</v>
      </c>
      <c r="C8" s="1" t="s">
        <v>12</v>
      </c>
      <c r="L8" s="3">
        <v>1.12E-2</v>
      </c>
      <c r="M8" s="1" t="s">
        <v>12</v>
      </c>
    </row>
    <row r="9" spans="2:13" ht="19.95" customHeight="1" x14ac:dyDescent="0.3">
      <c r="B9" s="3">
        <v>1.37E-2</v>
      </c>
      <c r="C9" s="1" t="s">
        <v>13</v>
      </c>
      <c r="L9" s="3">
        <v>1.37E-2</v>
      </c>
      <c r="M9" s="1" t="s">
        <v>13</v>
      </c>
    </row>
    <row r="11" spans="2:13" ht="19.95" customHeight="1" x14ac:dyDescent="0.3">
      <c r="B11" s="9" t="s">
        <v>17</v>
      </c>
      <c r="C11" s="9" t="s">
        <v>18</v>
      </c>
      <c r="D11" s="9" t="s">
        <v>19</v>
      </c>
      <c r="E11" s="9" t="s">
        <v>15</v>
      </c>
    </row>
    <row r="12" spans="2:13" ht="19.95" customHeight="1" x14ac:dyDescent="0.3">
      <c r="B12" s="10">
        <v>44931</v>
      </c>
      <c r="C12" s="10">
        <v>44941</v>
      </c>
      <c r="D12" s="11">
        <v>1200</v>
      </c>
      <c r="E12" s="12" cm="1">
        <f t="array" ref="E12">TieredInterest(B12,C12,D12)</f>
        <v>1.81</v>
      </c>
    </row>
    <row r="13" spans="2:13" ht="19.95" customHeight="1" x14ac:dyDescent="0.3">
      <c r="B13" s="10">
        <v>44931</v>
      </c>
      <c r="C13" s="10">
        <v>44982</v>
      </c>
      <c r="D13" s="11">
        <v>1200</v>
      </c>
      <c r="E13" s="12" cm="1">
        <f t="array" ref="E13">TieredInterest(B13,C13,D13)</f>
        <v>9.25</v>
      </c>
    </row>
  </sheetData>
  <mergeCells count="4">
    <mergeCell ref="B4:C4"/>
    <mergeCell ref="B2:E2"/>
    <mergeCell ref="L2:M2"/>
    <mergeCell ref="L4:M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SUMPRODUCT</vt:lpstr>
      <vt:lpstr>SUMPRODUCT, MAX &amp; MIN</vt:lpstr>
      <vt:lpstr>VBA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Guria</dc:creator>
  <cp:lastModifiedBy>Guria</cp:lastModifiedBy>
  <dcterms:created xsi:type="dcterms:W3CDTF">2023-01-10T11:43:22Z</dcterms:created>
  <dcterms:modified xsi:type="dcterms:W3CDTF">2023-01-12T05:30:08Z</dcterms:modified>
</cp:coreProperties>
</file>